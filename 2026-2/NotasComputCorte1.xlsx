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Computacional/2026-2/"/>
    </mc:Choice>
  </mc:AlternateContent>
  <xr:revisionPtr revIDLastSave="0" documentId="13_ncr:1_{73078676-E73F-3940-8079-6DDECF71A371}" xr6:coauthVersionLast="47" xr6:coauthVersionMax="47" xr10:uidLastSave="{00000000-0000-0000-0000-000000000000}"/>
  <bookViews>
    <workbookView xWindow="0" yWindow="600" windowWidth="14420" windowHeight="160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8" i="1"/>
  <c r="G49" i="1"/>
  <c r="G50" i="1"/>
  <c r="G51" i="1"/>
  <c r="G52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G47" i="1" s="1"/>
  <c r="G53" i="1" s="1"/>
  <c r="H53" i="1" s="1"/>
  <c r="I53" i="1" s="1"/>
  <c r="F48" i="1"/>
  <c r="F49" i="1"/>
  <c r="F50" i="1"/>
  <c r="F51" i="1"/>
  <c r="F52" i="1"/>
  <c r="F8" i="1"/>
</calcChain>
</file>

<file path=xl/sharedStrings.xml><?xml version="1.0" encoding="utf-8"?>
<sst xmlns="http://schemas.openxmlformats.org/spreadsheetml/2006/main" count="102" uniqueCount="102">
  <si>
    <t>Nombre</t>
  </si>
  <si>
    <t>Apellido(s)</t>
  </si>
  <si>
    <t>SAMUEL JOSE</t>
  </si>
  <si>
    <t>ANAYA PEREZ</t>
  </si>
  <si>
    <t>CARLOS</t>
  </si>
  <si>
    <t>ARIAS TAPIA</t>
  </si>
  <si>
    <t>EDWIN DAVID</t>
  </si>
  <si>
    <t>ARRIETA CUADRADO</t>
  </si>
  <si>
    <t>FABIÁN JOSÉ</t>
  </si>
  <si>
    <t>BALTAZAR ZURITA</t>
  </si>
  <si>
    <t>LUIS SANTIAGO</t>
  </si>
  <si>
    <t>BENAVIDES RODRIGUEZ</t>
  </si>
  <si>
    <t>MARÍA JOSÉ</t>
  </si>
  <si>
    <t>BERNAL BENÍTEZ</t>
  </si>
  <si>
    <t>SUSANA PATRICIA</t>
  </si>
  <si>
    <t>BURGOS PORTACIO</t>
  </si>
  <si>
    <t>JESUS DAVID</t>
  </si>
  <si>
    <t>CAUSIL MONTOYA</t>
  </si>
  <si>
    <t>ESTEBAN</t>
  </si>
  <si>
    <t>CORREA GIRALDO</t>
  </si>
  <si>
    <t>JOSE ANGEL</t>
  </si>
  <si>
    <t>ESPAÑA OVIEDO</t>
  </si>
  <si>
    <t>GABRIELA</t>
  </si>
  <si>
    <t>GALARCIO ARTEAGA</t>
  </si>
  <si>
    <t>SAUDITH DOMINGA</t>
  </si>
  <si>
    <t>GOMEZ GAVIRIA</t>
  </si>
  <si>
    <t>JULIANA ISABEL</t>
  </si>
  <si>
    <t>GONZALEZ NORIEGA</t>
  </si>
  <si>
    <t>RAFAEL DANIEL</t>
  </si>
  <si>
    <t>GUZMÁN GONZÁLEZ</t>
  </si>
  <si>
    <t>MILEYDIS</t>
  </si>
  <si>
    <t>HERNANDEZ HERNANDEZ</t>
  </si>
  <si>
    <t>JAVIER MAURICIO</t>
  </si>
  <si>
    <t>HERRERA MEZA</t>
  </si>
  <si>
    <t>JUAN SEBASTIAN</t>
  </si>
  <si>
    <t>HOYOS CAUSIL</t>
  </si>
  <si>
    <t>WISLLEIRY JHOSELIN</t>
  </si>
  <si>
    <t>JULIO MARQUEZ</t>
  </si>
  <si>
    <t>VALERIA</t>
  </si>
  <si>
    <t>LOPEZ FLOREZ</t>
  </si>
  <si>
    <t>MATEO</t>
  </si>
  <si>
    <t>LOPEZ MARTINEZ</t>
  </si>
  <si>
    <t>ANDRES FELIPE</t>
  </si>
  <si>
    <t>LUNA HERNANDEZ</t>
  </si>
  <si>
    <t>DUVAN ANDRES</t>
  </si>
  <si>
    <t>MARSIGLIA SANCHEZ</t>
  </si>
  <si>
    <t>KEINER</t>
  </si>
  <si>
    <t>MARTINEZ CONTRERAS</t>
  </si>
  <si>
    <t>JOSUE DAVID</t>
  </si>
  <si>
    <t>MARZOLA BARRETO</t>
  </si>
  <si>
    <t>FERNEY DAVID</t>
  </si>
  <si>
    <t>MARZOLA CORONADO</t>
  </si>
  <si>
    <t>NAYELIS</t>
  </si>
  <si>
    <t>NAVARRO AVILA</t>
  </si>
  <si>
    <t>MICHEL</t>
  </si>
  <si>
    <t>NAVARRO TAPIA</t>
  </si>
  <si>
    <t>KAREN DAYANA</t>
  </si>
  <si>
    <t>ORTIZ FUENTES</t>
  </si>
  <si>
    <t>DANILO ANTONIO</t>
  </si>
  <si>
    <t>OVIEDO SOLANO</t>
  </si>
  <si>
    <t>LUISA FERNANDA</t>
  </si>
  <si>
    <t>PANTOJA RAMOS</t>
  </si>
  <si>
    <t>MIGUEL ANDRES</t>
  </si>
  <si>
    <t>PASTRANA SUAREZ</t>
  </si>
  <si>
    <t>CAMILO ANDRES</t>
  </si>
  <si>
    <t>PATRON RODRIGUES</t>
  </si>
  <si>
    <t>SHARICK HELENA</t>
  </si>
  <si>
    <t>PEREZ ESTRELLA</t>
  </si>
  <si>
    <t>YORMAN ANDRES</t>
  </si>
  <si>
    <t>PETRO MADERA</t>
  </si>
  <si>
    <t>LUIS FERNANDO</t>
  </si>
  <si>
    <t>PINTO LARGO</t>
  </si>
  <si>
    <t>DYAN DAVID</t>
  </si>
  <si>
    <t>POSSO OSPINO</t>
  </si>
  <si>
    <t>KEVIN ANDRÉS</t>
  </si>
  <si>
    <t>QUIÑONEZ CORONADO</t>
  </si>
  <si>
    <t>SANTIAGO JOSE</t>
  </si>
  <si>
    <t>QUIÑONEZ HOYOS</t>
  </si>
  <si>
    <t>NICOLAS</t>
  </si>
  <si>
    <t>RODRIGUEZ NEGRETE</t>
  </si>
  <si>
    <t>JHONATTAN</t>
  </si>
  <si>
    <t>RUIZ BOHORQUEZ</t>
  </si>
  <si>
    <t>JUAN JOSE</t>
  </si>
  <si>
    <t>SALCEDO BENITEZ</t>
  </si>
  <si>
    <t>LUIS ANGEL</t>
  </si>
  <si>
    <t>SUAREZ LEON</t>
  </si>
  <si>
    <t>JUAN ANDRES</t>
  </si>
  <si>
    <t>TAMAYO VERONA</t>
  </si>
  <si>
    <t>FABIÁN ANDRÉS</t>
  </si>
  <si>
    <t>TRUJILLO HERRERA</t>
  </si>
  <si>
    <t>MARIA JOSE</t>
  </si>
  <si>
    <t>VELÁSQUEZ CANTERO</t>
  </si>
  <si>
    <t>Eval1</t>
  </si>
  <si>
    <t>Taller1</t>
  </si>
  <si>
    <t>Parcial</t>
  </si>
  <si>
    <t>Def</t>
  </si>
  <si>
    <t>FACULTAD DE CIENCIAS BÁSICAS</t>
  </si>
  <si>
    <t>PROGRAMA: ESTADÍSTICA</t>
  </si>
  <si>
    <t>DOCENTE: MARIO ALFONSO MORALES</t>
  </si>
  <si>
    <t>PERIODO: 2026-2</t>
  </si>
  <si>
    <t>NOTAS DEL PRIMER CORTE</t>
  </si>
  <si>
    <t xml:space="preserve">CURSO: 409211 (ESTADÍSTICA COMPUTACIONAL)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</si>
</sst>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9" xfId="0" applyNumberFormat="1" applyBorder="1"/>
    <xf numFmtId="49" fontId="1" fillId="0" borderId="9" xfId="0" applyNumberFormat="1" applyFont="1" applyBorder="1"/>
    <xf numFmtId="164" fontId="0" fillId="0" borderId="9" xfId="0" applyNumberFormat="1" applyBorder="1"/>
    <xf numFmtId="164" fontId="0" fillId="0" borderId="10" xfId="0" applyNumberFormat="1" applyBorder="1"/>
    <xf numFmtId="0" fontId="0" fillId="3" borderId="0" xfId="0" applyFill="1"/>
    <xf numFmtId="0" fontId="0" fillId="4" borderId="0" xfId="0" applyFill="1"/>
    <xf numFmtId="17" fontId="0" fillId="0" borderId="0" xfId="0" applyNumberFormat="1"/>
    <xf numFmtId="164" fontId="0" fillId="0" borderId="0" xfId="0" applyNumberFormat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0" fillId="0" borderId="10" xfId="0" applyNumberFormat="1" applyFill="1" applyBorder="1"/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34" zoomScale="170" zoomScaleNormal="170" workbookViewId="0">
      <selection activeCell="J53" sqref="J53"/>
    </sheetView>
  </sheetViews>
  <sheetFormatPr baseColWidth="10" defaultColWidth="8.83203125" defaultRowHeight="15" x14ac:dyDescent="0.2"/>
  <cols>
    <col min="1" max="1" width="16.6640625" bestFit="1" customWidth="1"/>
    <col min="2" max="2" width="20.33203125" bestFit="1" customWidth="1"/>
    <col min="3" max="3" width="5.1640625" hidden="1" customWidth="1"/>
    <col min="4" max="5" width="6.33203125" hidden="1" customWidth="1"/>
    <col min="6" max="6" width="3.6640625" hidden="1" customWidth="1"/>
    <col min="7" max="8" width="0" hidden="1" customWidth="1"/>
  </cols>
  <sheetData>
    <row r="1" spans="1:10" x14ac:dyDescent="0.2">
      <c r="A1" s="18" t="s">
        <v>96</v>
      </c>
      <c r="B1" s="19"/>
      <c r="C1" s="19"/>
      <c r="D1" s="19"/>
      <c r="E1" s="19"/>
      <c r="F1" s="20"/>
      <c r="G1" s="1"/>
      <c r="H1" s="1"/>
    </row>
    <row r="2" spans="1:10" x14ac:dyDescent="0.2">
      <c r="A2" s="21" t="s">
        <v>97</v>
      </c>
      <c r="B2" s="22"/>
      <c r="C2" s="22"/>
      <c r="D2" s="22"/>
      <c r="E2" s="22"/>
      <c r="F2" s="23"/>
      <c r="G2" s="1"/>
      <c r="H2" s="1"/>
    </row>
    <row r="3" spans="1:10" x14ac:dyDescent="0.2">
      <c r="A3" s="21" t="s">
        <v>98</v>
      </c>
      <c r="B3" s="22"/>
      <c r="C3" s="22"/>
      <c r="D3" s="22"/>
      <c r="E3" s="22"/>
      <c r="F3" s="23"/>
      <c r="G3" s="1"/>
      <c r="H3" s="1"/>
    </row>
    <row r="4" spans="1:10" x14ac:dyDescent="0.2">
      <c r="A4" s="24" t="s">
        <v>101</v>
      </c>
      <c r="B4" s="25"/>
      <c r="C4" s="25"/>
      <c r="D4" s="25"/>
      <c r="E4" s="25"/>
      <c r="F4" s="26"/>
      <c r="G4" s="2"/>
      <c r="H4" s="2"/>
    </row>
    <row r="5" spans="1:10" ht="16" thickBot="1" x14ac:dyDescent="0.25">
      <c r="A5" s="12" t="s">
        <v>99</v>
      </c>
      <c r="B5" s="13"/>
      <c r="C5" s="13"/>
      <c r="D5" s="13"/>
      <c r="E5" s="13"/>
      <c r="F5" s="14"/>
      <c r="G5" s="2"/>
      <c r="H5" s="2"/>
    </row>
    <row r="6" spans="1:10" x14ac:dyDescent="0.2">
      <c r="A6" s="15" t="s">
        <v>100</v>
      </c>
      <c r="B6" s="16"/>
      <c r="C6" s="16"/>
      <c r="D6" s="16"/>
      <c r="E6" s="16"/>
      <c r="F6" s="17"/>
      <c r="G6" s="3"/>
      <c r="H6" s="3"/>
      <c r="I6" s="10">
        <v>46293</v>
      </c>
      <c r="J6" s="10">
        <v>46297</v>
      </c>
    </row>
    <row r="7" spans="1:10" x14ac:dyDescent="0.2">
      <c r="A7" s="4" t="s">
        <v>0</v>
      </c>
      <c r="B7" s="4" t="s">
        <v>1</v>
      </c>
      <c r="C7" s="5" t="s">
        <v>92</v>
      </c>
      <c r="D7" s="5" t="s">
        <v>93</v>
      </c>
      <c r="E7" s="5" t="s">
        <v>94</v>
      </c>
      <c r="F7" s="5" t="s">
        <v>95</v>
      </c>
    </row>
    <row r="8" spans="1:10" x14ac:dyDescent="0.2">
      <c r="A8" s="4" t="s">
        <v>2</v>
      </c>
      <c r="B8" s="4" t="s">
        <v>3</v>
      </c>
      <c r="C8" s="6">
        <v>2.27</v>
      </c>
      <c r="D8" s="6">
        <v>4.6100000000000003</v>
      </c>
      <c r="E8" s="6">
        <v>0</v>
      </c>
      <c r="F8" s="6">
        <f>E8*0.4+D8*0.3+C8*0.3</f>
        <v>2.0640000000000001</v>
      </c>
      <c r="G8">
        <f>IF(F8&lt;3,1,0)</f>
        <v>1</v>
      </c>
      <c r="H8" s="7">
        <v>1</v>
      </c>
      <c r="I8" s="7">
        <v>1</v>
      </c>
      <c r="J8" s="27">
        <v>1</v>
      </c>
    </row>
    <row r="9" spans="1:10" x14ac:dyDescent="0.2">
      <c r="A9" s="4" t="s">
        <v>4</v>
      </c>
      <c r="B9" s="4" t="s">
        <v>5</v>
      </c>
      <c r="C9" s="6">
        <v>3.64</v>
      </c>
      <c r="D9" s="6">
        <v>2.21</v>
      </c>
      <c r="E9" s="6">
        <v>3.48</v>
      </c>
      <c r="F9" s="6">
        <f t="shared" ref="F9:F52" si="0">E9*0.4+D9*0.3+C9*0.3</f>
        <v>3.1470000000000002</v>
      </c>
      <c r="G9">
        <f t="shared" ref="G9:G52" si="1">IF(F9&lt;3,1,0)</f>
        <v>0</v>
      </c>
      <c r="H9" s="7">
        <v>2</v>
      </c>
      <c r="I9" s="7">
        <v>1</v>
      </c>
      <c r="J9" s="27">
        <v>1</v>
      </c>
    </row>
    <row r="10" spans="1:10" x14ac:dyDescent="0.2">
      <c r="A10" s="4" t="s">
        <v>6</v>
      </c>
      <c r="B10" s="4" t="s">
        <v>7</v>
      </c>
      <c r="C10" s="6">
        <v>1.36</v>
      </c>
      <c r="D10" s="6">
        <v>3.32</v>
      </c>
      <c r="E10" s="6">
        <v>2.76</v>
      </c>
      <c r="F10" s="6">
        <f t="shared" si="0"/>
        <v>2.5079999999999996</v>
      </c>
      <c r="G10">
        <f t="shared" si="1"/>
        <v>1</v>
      </c>
      <c r="H10" s="7">
        <v>3</v>
      </c>
      <c r="I10" s="7">
        <v>1</v>
      </c>
      <c r="J10" s="27">
        <v>0</v>
      </c>
    </row>
    <row r="11" spans="1:10" x14ac:dyDescent="0.2">
      <c r="A11" s="4" t="s">
        <v>8</v>
      </c>
      <c r="B11" s="4" t="s">
        <v>9</v>
      </c>
      <c r="C11" s="6">
        <v>1.36</v>
      </c>
      <c r="D11" s="6">
        <v>4.3899999999999997</v>
      </c>
      <c r="E11" s="6">
        <v>3.13</v>
      </c>
      <c r="F11" s="6">
        <f t="shared" si="0"/>
        <v>2.9769999999999999</v>
      </c>
      <c r="G11">
        <f t="shared" si="1"/>
        <v>1</v>
      </c>
      <c r="H11" s="7">
        <v>4</v>
      </c>
      <c r="I11" s="11">
        <v>1</v>
      </c>
      <c r="J11" s="28">
        <v>1</v>
      </c>
    </row>
    <row r="12" spans="1:10" x14ac:dyDescent="0.2">
      <c r="A12" s="4" t="s">
        <v>10</v>
      </c>
      <c r="B12" s="4" t="s">
        <v>11</v>
      </c>
      <c r="C12" s="6">
        <v>4.09</v>
      </c>
      <c r="D12" s="6">
        <v>4.72</v>
      </c>
      <c r="E12" s="6">
        <v>4.12</v>
      </c>
      <c r="F12" s="6">
        <f t="shared" si="0"/>
        <v>4.2910000000000004</v>
      </c>
      <c r="G12">
        <f t="shared" si="1"/>
        <v>0</v>
      </c>
      <c r="H12" s="7">
        <v>5</v>
      </c>
      <c r="I12" s="11">
        <v>1</v>
      </c>
      <c r="J12" s="28">
        <v>1</v>
      </c>
    </row>
    <row r="13" spans="1:10" x14ac:dyDescent="0.2">
      <c r="A13" s="4" t="s">
        <v>12</v>
      </c>
      <c r="B13" s="4" t="s">
        <v>13</v>
      </c>
      <c r="C13" s="6">
        <v>3.86</v>
      </c>
      <c r="D13" s="6">
        <v>4.07</v>
      </c>
      <c r="E13" s="6">
        <v>4.4400000000000004</v>
      </c>
      <c r="F13" s="6">
        <f t="shared" si="0"/>
        <v>4.1550000000000002</v>
      </c>
      <c r="G13">
        <f t="shared" si="1"/>
        <v>0</v>
      </c>
      <c r="H13" s="7">
        <v>6</v>
      </c>
      <c r="I13" s="11">
        <v>0</v>
      </c>
      <c r="J13" s="28">
        <v>1</v>
      </c>
    </row>
    <row r="14" spans="1:10" x14ac:dyDescent="0.2">
      <c r="A14" s="4" t="s">
        <v>14</v>
      </c>
      <c r="B14" s="4" t="s">
        <v>15</v>
      </c>
      <c r="C14" s="6">
        <v>3.18</v>
      </c>
      <c r="D14" s="6">
        <v>4.72</v>
      </c>
      <c r="E14" s="6">
        <v>1.52</v>
      </c>
      <c r="F14" s="6">
        <f t="shared" si="0"/>
        <v>2.9779999999999998</v>
      </c>
      <c r="G14">
        <f t="shared" si="1"/>
        <v>1</v>
      </c>
      <c r="H14" s="7">
        <v>7</v>
      </c>
      <c r="I14" s="11">
        <v>1</v>
      </c>
      <c r="J14" s="28">
        <v>1</v>
      </c>
    </row>
    <row r="15" spans="1:10" x14ac:dyDescent="0.2">
      <c r="A15" s="4" t="s">
        <v>16</v>
      </c>
      <c r="B15" s="4" t="s">
        <v>17</v>
      </c>
      <c r="C15" s="6">
        <v>4.09</v>
      </c>
      <c r="D15" s="6">
        <v>4.83</v>
      </c>
      <c r="E15" s="6">
        <v>2.5</v>
      </c>
      <c r="F15" s="6">
        <f t="shared" si="0"/>
        <v>3.6759999999999997</v>
      </c>
      <c r="G15">
        <f t="shared" si="1"/>
        <v>0</v>
      </c>
      <c r="H15" s="7">
        <v>8</v>
      </c>
      <c r="I15" s="11">
        <v>1</v>
      </c>
      <c r="J15" s="28">
        <v>1</v>
      </c>
    </row>
    <row r="16" spans="1:10" x14ac:dyDescent="0.2">
      <c r="A16" s="4" t="s">
        <v>18</v>
      </c>
      <c r="B16" s="4" t="s">
        <v>19</v>
      </c>
      <c r="C16" s="6">
        <v>5</v>
      </c>
      <c r="D16" s="6">
        <v>3.28</v>
      </c>
      <c r="E16" s="6">
        <v>3.75</v>
      </c>
      <c r="F16" s="6">
        <f t="shared" si="0"/>
        <v>3.984</v>
      </c>
      <c r="G16">
        <f t="shared" si="1"/>
        <v>0</v>
      </c>
      <c r="H16" s="7">
        <v>9</v>
      </c>
      <c r="I16" s="11">
        <v>1</v>
      </c>
      <c r="J16" s="28">
        <v>1</v>
      </c>
    </row>
    <row r="17" spans="1:10" x14ac:dyDescent="0.2">
      <c r="A17" s="4" t="s">
        <v>20</v>
      </c>
      <c r="B17" s="4" t="s">
        <v>21</v>
      </c>
      <c r="C17" s="6">
        <v>1.36</v>
      </c>
      <c r="D17" s="6">
        <v>4.88</v>
      </c>
      <c r="E17" s="6">
        <v>4.17</v>
      </c>
      <c r="F17" s="6">
        <f t="shared" si="0"/>
        <v>3.54</v>
      </c>
      <c r="G17">
        <f t="shared" si="1"/>
        <v>0</v>
      </c>
      <c r="H17" s="7">
        <v>10</v>
      </c>
      <c r="I17" s="11">
        <v>1</v>
      </c>
      <c r="J17" s="28">
        <v>1</v>
      </c>
    </row>
    <row r="18" spans="1:10" x14ac:dyDescent="0.2">
      <c r="A18" s="4" t="s">
        <v>22</v>
      </c>
      <c r="B18" s="4" t="s">
        <v>23</v>
      </c>
      <c r="C18" s="6">
        <v>2.0499999999999998</v>
      </c>
      <c r="D18" s="6">
        <v>4.72</v>
      </c>
      <c r="E18" s="6">
        <v>3.67</v>
      </c>
      <c r="F18" s="6">
        <f t="shared" si="0"/>
        <v>3.4989999999999997</v>
      </c>
      <c r="G18">
        <f t="shared" si="1"/>
        <v>0</v>
      </c>
      <c r="H18" s="7">
        <v>11</v>
      </c>
      <c r="I18" s="11">
        <v>1</v>
      </c>
      <c r="J18" s="28">
        <v>1</v>
      </c>
    </row>
    <row r="19" spans="1:10" x14ac:dyDescent="0.2">
      <c r="A19" s="4" t="s">
        <v>24</v>
      </c>
      <c r="B19" s="4" t="s">
        <v>25</v>
      </c>
      <c r="C19" s="6">
        <v>1.36</v>
      </c>
      <c r="D19" s="6">
        <v>4.7</v>
      </c>
      <c r="E19" s="6">
        <v>5</v>
      </c>
      <c r="F19" s="6">
        <f t="shared" si="0"/>
        <v>3.8180000000000001</v>
      </c>
      <c r="G19">
        <f t="shared" si="1"/>
        <v>0</v>
      </c>
      <c r="H19" s="7">
        <v>12</v>
      </c>
      <c r="I19" s="11">
        <v>1</v>
      </c>
      <c r="J19" s="28">
        <v>1</v>
      </c>
    </row>
    <row r="20" spans="1:10" x14ac:dyDescent="0.2">
      <c r="A20" s="4" t="s">
        <v>26</v>
      </c>
      <c r="B20" s="4" t="s">
        <v>27</v>
      </c>
      <c r="C20" s="6">
        <v>1.59</v>
      </c>
      <c r="D20" s="6">
        <v>5</v>
      </c>
      <c r="E20" s="6">
        <v>3.43</v>
      </c>
      <c r="F20" s="6">
        <f t="shared" si="0"/>
        <v>3.3489999999999998</v>
      </c>
      <c r="G20">
        <f t="shared" si="1"/>
        <v>0</v>
      </c>
      <c r="H20" s="7">
        <v>13</v>
      </c>
      <c r="I20" s="11">
        <v>1</v>
      </c>
      <c r="J20" s="28">
        <v>1</v>
      </c>
    </row>
    <row r="21" spans="1:10" x14ac:dyDescent="0.2">
      <c r="A21" s="4" t="s">
        <v>28</v>
      </c>
      <c r="B21" s="4" t="s">
        <v>29</v>
      </c>
      <c r="C21" s="6">
        <v>1.36</v>
      </c>
      <c r="D21" s="6">
        <v>3.48</v>
      </c>
      <c r="E21" s="6">
        <v>2.19</v>
      </c>
      <c r="F21" s="6">
        <f t="shared" si="0"/>
        <v>2.3279999999999998</v>
      </c>
      <c r="G21">
        <f t="shared" si="1"/>
        <v>1</v>
      </c>
      <c r="H21" s="7">
        <v>14</v>
      </c>
      <c r="I21" s="11">
        <v>1</v>
      </c>
      <c r="J21" s="28">
        <v>1</v>
      </c>
    </row>
    <row r="22" spans="1:10" x14ac:dyDescent="0.2">
      <c r="A22" s="4" t="s">
        <v>30</v>
      </c>
      <c r="B22" s="4" t="s">
        <v>31</v>
      </c>
      <c r="C22" s="6">
        <v>0.91</v>
      </c>
      <c r="D22" s="6">
        <v>4.8600000000000003</v>
      </c>
      <c r="E22" s="6">
        <v>3.59</v>
      </c>
      <c r="F22" s="6">
        <f t="shared" si="0"/>
        <v>3.1670000000000003</v>
      </c>
      <c r="G22">
        <f t="shared" si="1"/>
        <v>0</v>
      </c>
      <c r="H22" s="7">
        <v>15</v>
      </c>
      <c r="I22" s="11">
        <v>1</v>
      </c>
      <c r="J22" s="28">
        <v>1</v>
      </c>
    </row>
    <row r="23" spans="1:10" x14ac:dyDescent="0.2">
      <c r="A23" s="4" t="s">
        <v>32</v>
      </c>
      <c r="B23" s="4" t="s">
        <v>33</v>
      </c>
      <c r="C23" s="6">
        <v>3.41</v>
      </c>
      <c r="D23" s="6">
        <v>3.02</v>
      </c>
      <c r="E23" s="6">
        <v>3.49</v>
      </c>
      <c r="F23" s="6">
        <f t="shared" si="0"/>
        <v>3.3250000000000002</v>
      </c>
      <c r="G23">
        <f t="shared" si="1"/>
        <v>0</v>
      </c>
      <c r="H23" s="7">
        <v>16</v>
      </c>
      <c r="I23" s="11">
        <v>1</v>
      </c>
      <c r="J23" s="28">
        <v>1</v>
      </c>
    </row>
    <row r="24" spans="1:10" x14ac:dyDescent="0.2">
      <c r="A24" s="4" t="s">
        <v>34</v>
      </c>
      <c r="B24" s="4" t="s">
        <v>35</v>
      </c>
      <c r="C24" s="6">
        <v>1.36</v>
      </c>
      <c r="D24" s="6">
        <v>4.28</v>
      </c>
      <c r="E24" s="6">
        <v>4.38</v>
      </c>
      <c r="F24" s="6">
        <f t="shared" si="0"/>
        <v>3.444</v>
      </c>
      <c r="G24">
        <f t="shared" si="1"/>
        <v>0</v>
      </c>
      <c r="H24" s="7">
        <v>17</v>
      </c>
      <c r="I24" s="11">
        <v>1</v>
      </c>
      <c r="J24" s="28">
        <v>0</v>
      </c>
    </row>
    <row r="25" spans="1:10" x14ac:dyDescent="0.2">
      <c r="A25" s="4" t="s">
        <v>36</v>
      </c>
      <c r="B25" s="4" t="s">
        <v>37</v>
      </c>
      <c r="C25" s="6">
        <v>1.36</v>
      </c>
      <c r="D25" s="6">
        <v>3.82</v>
      </c>
      <c r="E25" s="6">
        <v>1.96</v>
      </c>
      <c r="F25" s="6">
        <f t="shared" si="0"/>
        <v>2.3380000000000001</v>
      </c>
      <c r="G25">
        <f t="shared" si="1"/>
        <v>1</v>
      </c>
      <c r="H25" s="7">
        <v>18</v>
      </c>
      <c r="I25" s="11">
        <v>1</v>
      </c>
      <c r="J25" s="28">
        <v>1</v>
      </c>
    </row>
    <row r="26" spans="1:10" x14ac:dyDescent="0.2">
      <c r="A26" s="4" t="s">
        <v>38</v>
      </c>
      <c r="B26" s="4" t="s">
        <v>39</v>
      </c>
      <c r="C26" s="6">
        <v>4.7699999999999996</v>
      </c>
      <c r="D26" s="6">
        <v>4.88</v>
      </c>
      <c r="E26" s="6">
        <v>2.5499999999999998</v>
      </c>
      <c r="F26" s="6">
        <f t="shared" si="0"/>
        <v>3.915</v>
      </c>
      <c r="G26">
        <f t="shared" si="1"/>
        <v>0</v>
      </c>
      <c r="H26" s="7">
        <v>19</v>
      </c>
      <c r="I26" s="11">
        <v>1</v>
      </c>
      <c r="J26" s="28">
        <v>1</v>
      </c>
    </row>
    <row r="27" spans="1:10" x14ac:dyDescent="0.2">
      <c r="A27" s="4" t="s">
        <v>40</v>
      </c>
      <c r="B27" s="4" t="s">
        <v>41</v>
      </c>
      <c r="C27" s="6">
        <v>1.36</v>
      </c>
      <c r="D27" s="6">
        <v>0</v>
      </c>
      <c r="E27" s="6">
        <v>3.33</v>
      </c>
      <c r="F27" s="6">
        <f t="shared" si="0"/>
        <v>1.7400000000000002</v>
      </c>
      <c r="G27">
        <f t="shared" si="1"/>
        <v>1</v>
      </c>
      <c r="H27" s="7">
        <v>20</v>
      </c>
      <c r="I27" s="11">
        <v>1</v>
      </c>
      <c r="J27" s="28">
        <v>1</v>
      </c>
    </row>
    <row r="28" spans="1:10" x14ac:dyDescent="0.2">
      <c r="A28" s="4" t="s">
        <v>42</v>
      </c>
      <c r="B28" s="4" t="s">
        <v>43</v>
      </c>
      <c r="C28" s="6">
        <v>1.36</v>
      </c>
      <c r="D28" s="6">
        <v>4.88</v>
      </c>
      <c r="E28" s="6">
        <v>4.47</v>
      </c>
      <c r="F28" s="6">
        <f t="shared" si="0"/>
        <v>3.6599999999999997</v>
      </c>
      <c r="G28">
        <f t="shared" si="1"/>
        <v>0</v>
      </c>
      <c r="H28" s="7">
        <v>21</v>
      </c>
      <c r="I28" s="11">
        <v>1</v>
      </c>
      <c r="J28" s="28">
        <v>1</v>
      </c>
    </row>
    <row r="29" spans="1:10" x14ac:dyDescent="0.2">
      <c r="A29" s="4" t="s">
        <v>44</v>
      </c>
      <c r="B29" s="4" t="s">
        <v>45</v>
      </c>
      <c r="C29" s="6">
        <v>2.27</v>
      </c>
      <c r="D29" s="6">
        <v>4.09</v>
      </c>
      <c r="E29" s="6">
        <v>4.95</v>
      </c>
      <c r="F29" s="6">
        <f t="shared" si="0"/>
        <v>3.8879999999999999</v>
      </c>
      <c r="G29">
        <f t="shared" si="1"/>
        <v>0</v>
      </c>
      <c r="H29" s="7">
        <v>22</v>
      </c>
      <c r="I29" s="11">
        <v>1</v>
      </c>
      <c r="J29" s="28">
        <v>1</v>
      </c>
    </row>
    <row r="30" spans="1:10" x14ac:dyDescent="0.2">
      <c r="A30" s="4" t="s">
        <v>46</v>
      </c>
      <c r="B30" s="4" t="s">
        <v>47</v>
      </c>
      <c r="C30" s="6">
        <v>3.18</v>
      </c>
      <c r="D30" s="6">
        <v>2.63</v>
      </c>
      <c r="E30" s="6">
        <v>5</v>
      </c>
      <c r="F30" s="6">
        <f t="shared" si="0"/>
        <v>3.7429999999999994</v>
      </c>
      <c r="G30">
        <f t="shared" si="1"/>
        <v>0</v>
      </c>
      <c r="H30" s="7">
        <v>23</v>
      </c>
      <c r="I30" s="11">
        <v>1</v>
      </c>
      <c r="J30" s="28">
        <v>1</v>
      </c>
    </row>
    <row r="31" spans="1:10" x14ac:dyDescent="0.2">
      <c r="A31" s="4" t="s">
        <v>48</v>
      </c>
      <c r="B31" s="4" t="s">
        <v>49</v>
      </c>
      <c r="C31" s="6">
        <v>3.64</v>
      </c>
      <c r="D31" s="6">
        <v>3.78</v>
      </c>
      <c r="E31" s="6">
        <v>3.75</v>
      </c>
      <c r="F31" s="6">
        <f t="shared" si="0"/>
        <v>3.726</v>
      </c>
      <c r="G31">
        <f t="shared" si="1"/>
        <v>0</v>
      </c>
      <c r="H31" s="7">
        <v>24</v>
      </c>
      <c r="I31" s="11">
        <v>1</v>
      </c>
      <c r="J31" s="28">
        <v>1</v>
      </c>
    </row>
    <row r="32" spans="1:10" x14ac:dyDescent="0.2">
      <c r="A32" s="4" t="s">
        <v>50</v>
      </c>
      <c r="B32" s="4" t="s">
        <v>51</v>
      </c>
      <c r="C32" s="6">
        <v>1.36</v>
      </c>
      <c r="D32" s="6">
        <v>4.5</v>
      </c>
      <c r="E32" s="6">
        <v>4.41</v>
      </c>
      <c r="F32" s="6">
        <f t="shared" si="0"/>
        <v>3.5219999999999998</v>
      </c>
      <c r="G32">
        <f t="shared" si="1"/>
        <v>0</v>
      </c>
      <c r="H32" s="7">
        <v>25</v>
      </c>
      <c r="I32" s="11">
        <v>1</v>
      </c>
      <c r="J32" s="28">
        <v>1</v>
      </c>
    </row>
    <row r="33" spans="1:10" x14ac:dyDescent="0.2">
      <c r="A33" s="4" t="s">
        <v>52</v>
      </c>
      <c r="B33" s="4" t="s">
        <v>53</v>
      </c>
      <c r="C33" s="6">
        <v>0.91</v>
      </c>
      <c r="D33" s="6">
        <v>2.56</v>
      </c>
      <c r="E33" s="6">
        <v>3.72</v>
      </c>
      <c r="F33" s="6">
        <f t="shared" si="0"/>
        <v>2.5290000000000004</v>
      </c>
      <c r="G33">
        <f t="shared" si="1"/>
        <v>1</v>
      </c>
      <c r="H33" s="7">
        <v>26</v>
      </c>
      <c r="I33" s="11">
        <v>1</v>
      </c>
      <c r="J33" s="28">
        <v>1</v>
      </c>
    </row>
    <row r="34" spans="1:10" x14ac:dyDescent="0.2">
      <c r="A34" s="4" t="s">
        <v>54</v>
      </c>
      <c r="B34" s="4" t="s">
        <v>55</v>
      </c>
      <c r="C34" s="6">
        <v>3.18</v>
      </c>
      <c r="D34" s="6">
        <v>3.75</v>
      </c>
      <c r="E34" s="6">
        <v>4.6399999999999997</v>
      </c>
      <c r="F34" s="6">
        <f t="shared" si="0"/>
        <v>3.9349999999999996</v>
      </c>
      <c r="G34">
        <f t="shared" si="1"/>
        <v>0</v>
      </c>
      <c r="H34" s="7">
        <v>27</v>
      </c>
      <c r="I34" s="11">
        <v>1</v>
      </c>
      <c r="J34" s="28">
        <v>1</v>
      </c>
    </row>
    <row r="35" spans="1:10" x14ac:dyDescent="0.2">
      <c r="A35" s="4" t="s">
        <v>56</v>
      </c>
      <c r="B35" s="4" t="s">
        <v>57</v>
      </c>
      <c r="C35" s="6">
        <v>3.18</v>
      </c>
      <c r="D35" s="6">
        <v>3.34</v>
      </c>
      <c r="E35" s="6">
        <v>3.7</v>
      </c>
      <c r="F35" s="6">
        <f t="shared" si="0"/>
        <v>3.4359999999999999</v>
      </c>
      <c r="G35">
        <f t="shared" si="1"/>
        <v>0</v>
      </c>
      <c r="H35" s="7">
        <v>28</v>
      </c>
      <c r="I35" s="11">
        <v>0</v>
      </c>
      <c r="J35" s="28">
        <v>0</v>
      </c>
    </row>
    <row r="36" spans="1:10" x14ac:dyDescent="0.2">
      <c r="A36" s="4" t="s">
        <v>58</v>
      </c>
      <c r="B36" s="4" t="s">
        <v>59</v>
      </c>
      <c r="C36" s="6">
        <v>1.36</v>
      </c>
      <c r="D36" s="6">
        <v>4.45</v>
      </c>
      <c r="E36" s="6">
        <v>4.95</v>
      </c>
      <c r="F36" s="6">
        <f t="shared" si="0"/>
        <v>3.7230000000000003</v>
      </c>
      <c r="G36">
        <f t="shared" si="1"/>
        <v>0</v>
      </c>
      <c r="H36" s="7">
        <v>29</v>
      </c>
      <c r="I36" s="11">
        <v>1</v>
      </c>
      <c r="J36" s="28">
        <v>1</v>
      </c>
    </row>
    <row r="37" spans="1:10" x14ac:dyDescent="0.2">
      <c r="A37" s="4" t="s">
        <v>60</v>
      </c>
      <c r="B37" s="4" t="s">
        <v>61</v>
      </c>
      <c r="C37" s="6">
        <v>1.36</v>
      </c>
      <c r="D37" s="6">
        <v>1.98</v>
      </c>
      <c r="E37" s="6">
        <v>3.8</v>
      </c>
      <c r="F37" s="6">
        <f t="shared" si="0"/>
        <v>2.5219999999999998</v>
      </c>
      <c r="G37">
        <f t="shared" si="1"/>
        <v>1</v>
      </c>
      <c r="H37" s="7">
        <v>30</v>
      </c>
      <c r="I37" s="11">
        <v>0</v>
      </c>
      <c r="J37" s="28">
        <v>1</v>
      </c>
    </row>
    <row r="38" spans="1:10" x14ac:dyDescent="0.2">
      <c r="A38" s="4" t="s">
        <v>62</v>
      </c>
      <c r="B38" s="4" t="s">
        <v>63</v>
      </c>
      <c r="C38" s="6">
        <v>5</v>
      </c>
      <c r="D38" s="6">
        <v>4.88</v>
      </c>
      <c r="E38" s="6">
        <v>3.94</v>
      </c>
      <c r="F38" s="6">
        <f t="shared" si="0"/>
        <v>4.54</v>
      </c>
      <c r="G38">
        <f t="shared" si="1"/>
        <v>0</v>
      </c>
      <c r="H38" s="7">
        <v>31</v>
      </c>
      <c r="I38" s="11">
        <v>1</v>
      </c>
      <c r="J38" s="28">
        <v>0</v>
      </c>
    </row>
    <row r="39" spans="1:10" x14ac:dyDescent="0.2">
      <c r="A39" s="4" t="s">
        <v>64</v>
      </c>
      <c r="B39" s="4" t="s">
        <v>65</v>
      </c>
      <c r="C39" s="6">
        <v>5</v>
      </c>
      <c r="D39" s="6">
        <v>4.22</v>
      </c>
      <c r="E39" s="6">
        <v>3.82</v>
      </c>
      <c r="F39" s="6">
        <f t="shared" si="0"/>
        <v>4.2939999999999996</v>
      </c>
      <c r="G39">
        <f t="shared" si="1"/>
        <v>0</v>
      </c>
      <c r="H39" s="7">
        <v>32</v>
      </c>
      <c r="I39" s="11">
        <v>1</v>
      </c>
      <c r="J39" s="28">
        <v>1</v>
      </c>
    </row>
    <row r="40" spans="1:10" x14ac:dyDescent="0.2">
      <c r="A40" s="4" t="s">
        <v>66</v>
      </c>
      <c r="B40" s="4" t="s">
        <v>67</v>
      </c>
      <c r="C40" s="6">
        <v>4.09</v>
      </c>
      <c r="D40" s="6">
        <v>4.1100000000000003</v>
      </c>
      <c r="E40" s="6">
        <v>3.13</v>
      </c>
      <c r="F40" s="6">
        <f t="shared" si="0"/>
        <v>3.7120000000000002</v>
      </c>
      <c r="G40">
        <f t="shared" si="1"/>
        <v>0</v>
      </c>
      <c r="H40" s="7">
        <v>33</v>
      </c>
      <c r="I40" s="11">
        <v>1</v>
      </c>
      <c r="J40" s="28">
        <v>1</v>
      </c>
    </row>
    <row r="41" spans="1:10" x14ac:dyDescent="0.2">
      <c r="A41" s="4" t="s">
        <v>68</v>
      </c>
      <c r="B41" s="4" t="s">
        <v>69</v>
      </c>
      <c r="C41" s="6">
        <v>4.7699999999999996</v>
      </c>
      <c r="D41" s="6">
        <v>4.25</v>
      </c>
      <c r="E41" s="6">
        <v>3.17</v>
      </c>
      <c r="F41" s="6">
        <f t="shared" si="0"/>
        <v>3.9740000000000002</v>
      </c>
      <c r="G41">
        <f t="shared" si="1"/>
        <v>0</v>
      </c>
      <c r="H41" s="7">
        <v>34</v>
      </c>
      <c r="I41" s="11">
        <v>1</v>
      </c>
      <c r="J41" s="28">
        <v>1</v>
      </c>
    </row>
    <row r="42" spans="1:10" x14ac:dyDescent="0.2">
      <c r="A42" s="4" t="s">
        <v>70</v>
      </c>
      <c r="B42" s="4" t="s">
        <v>71</v>
      </c>
      <c r="C42" s="6">
        <v>2.73</v>
      </c>
      <c r="D42" s="6">
        <v>4.38</v>
      </c>
      <c r="E42" s="6">
        <v>4.01</v>
      </c>
      <c r="F42" s="6">
        <f t="shared" si="0"/>
        <v>3.7370000000000001</v>
      </c>
      <c r="G42">
        <f t="shared" si="1"/>
        <v>0</v>
      </c>
      <c r="H42" s="7">
        <v>35</v>
      </c>
      <c r="I42" s="11">
        <v>1</v>
      </c>
      <c r="J42" s="28">
        <v>1</v>
      </c>
    </row>
    <row r="43" spans="1:10" x14ac:dyDescent="0.2">
      <c r="A43" s="4" t="s">
        <v>72</v>
      </c>
      <c r="B43" s="4" t="s">
        <v>73</v>
      </c>
      <c r="C43" s="6">
        <v>1.36</v>
      </c>
      <c r="D43" s="6">
        <v>4.88</v>
      </c>
      <c r="E43" s="6">
        <v>1.61</v>
      </c>
      <c r="F43" s="6">
        <f t="shared" si="0"/>
        <v>2.516</v>
      </c>
      <c r="G43">
        <f t="shared" si="1"/>
        <v>1</v>
      </c>
      <c r="H43" s="7">
        <v>36</v>
      </c>
      <c r="I43" s="11">
        <v>1</v>
      </c>
      <c r="J43" s="28">
        <v>0</v>
      </c>
    </row>
    <row r="44" spans="1:10" x14ac:dyDescent="0.2">
      <c r="A44" s="4" t="s">
        <v>74</v>
      </c>
      <c r="B44" s="4" t="s">
        <v>75</v>
      </c>
      <c r="C44" s="6">
        <v>4.7699999999999996</v>
      </c>
      <c r="D44" s="6">
        <v>4.8</v>
      </c>
      <c r="E44" s="6">
        <v>4.91</v>
      </c>
      <c r="F44" s="6">
        <f t="shared" si="0"/>
        <v>4.835</v>
      </c>
      <c r="G44">
        <f t="shared" si="1"/>
        <v>0</v>
      </c>
      <c r="H44" s="7">
        <v>37</v>
      </c>
      <c r="I44" s="11">
        <v>1</v>
      </c>
      <c r="J44" s="28">
        <v>1</v>
      </c>
    </row>
    <row r="45" spans="1:10" x14ac:dyDescent="0.2">
      <c r="A45" s="4" t="s">
        <v>76</v>
      </c>
      <c r="B45" s="4" t="s">
        <v>77</v>
      </c>
      <c r="C45" s="6">
        <v>2.95</v>
      </c>
      <c r="D45" s="6">
        <v>4.88</v>
      </c>
      <c r="E45" s="6">
        <v>4.8600000000000003</v>
      </c>
      <c r="F45" s="6">
        <f t="shared" si="0"/>
        <v>4.2930000000000001</v>
      </c>
      <c r="G45">
        <f t="shared" si="1"/>
        <v>0</v>
      </c>
      <c r="H45" s="7">
        <v>38</v>
      </c>
      <c r="I45" s="11">
        <v>1</v>
      </c>
      <c r="J45" s="28">
        <v>1</v>
      </c>
    </row>
    <row r="46" spans="1:10" x14ac:dyDescent="0.2">
      <c r="A46" s="4" t="s">
        <v>78</v>
      </c>
      <c r="B46" s="4" t="s">
        <v>79</v>
      </c>
      <c r="C46" s="6">
        <v>2.27</v>
      </c>
      <c r="D46" s="6">
        <v>4.72</v>
      </c>
      <c r="E46" s="6">
        <v>4.42</v>
      </c>
      <c r="F46" s="6">
        <f t="shared" si="0"/>
        <v>3.8650000000000002</v>
      </c>
      <c r="G46">
        <f t="shared" si="1"/>
        <v>0</v>
      </c>
      <c r="H46" s="7">
        <v>39</v>
      </c>
      <c r="I46" s="11">
        <v>1</v>
      </c>
      <c r="J46" s="28">
        <v>1</v>
      </c>
    </row>
    <row r="47" spans="1:10" x14ac:dyDescent="0.2">
      <c r="A47" s="4" t="s">
        <v>80</v>
      </c>
      <c r="B47" s="4" t="s">
        <v>81</v>
      </c>
      <c r="C47" s="6">
        <v>4.09</v>
      </c>
      <c r="D47" s="6">
        <v>4.3099999999999996</v>
      </c>
      <c r="E47" s="6">
        <v>4.91</v>
      </c>
      <c r="F47" s="6">
        <f t="shared" si="0"/>
        <v>4.484</v>
      </c>
      <c r="G47">
        <f t="shared" si="1"/>
        <v>0</v>
      </c>
      <c r="H47" s="7">
        <v>40</v>
      </c>
      <c r="I47" s="11">
        <v>0</v>
      </c>
      <c r="J47" s="28">
        <v>1</v>
      </c>
    </row>
    <row r="48" spans="1:10" x14ac:dyDescent="0.2">
      <c r="A48" s="4" t="s">
        <v>82</v>
      </c>
      <c r="B48" s="4" t="s">
        <v>83</v>
      </c>
      <c r="C48" s="6">
        <v>3.18</v>
      </c>
      <c r="D48" s="6">
        <v>5</v>
      </c>
      <c r="E48" s="6">
        <v>4.62</v>
      </c>
      <c r="F48" s="6">
        <f t="shared" si="0"/>
        <v>4.3019999999999996</v>
      </c>
      <c r="G48">
        <f t="shared" si="1"/>
        <v>0</v>
      </c>
      <c r="H48" s="7">
        <v>41</v>
      </c>
      <c r="I48" s="11">
        <v>1</v>
      </c>
      <c r="J48" s="28">
        <v>1</v>
      </c>
    </row>
    <row r="49" spans="1:10" x14ac:dyDescent="0.2">
      <c r="A49" s="4" t="s">
        <v>84</v>
      </c>
      <c r="B49" s="4" t="s">
        <v>85</v>
      </c>
      <c r="C49" s="6">
        <v>1.36</v>
      </c>
      <c r="D49" s="6">
        <v>3.69</v>
      </c>
      <c r="E49" s="6">
        <v>4.38</v>
      </c>
      <c r="F49" s="6">
        <f t="shared" si="0"/>
        <v>3.2669999999999999</v>
      </c>
      <c r="G49">
        <f t="shared" si="1"/>
        <v>0</v>
      </c>
      <c r="H49" s="7">
        <v>42</v>
      </c>
      <c r="I49" s="11">
        <v>1</v>
      </c>
      <c r="J49" s="28">
        <v>1</v>
      </c>
    </row>
    <row r="50" spans="1:10" x14ac:dyDescent="0.2">
      <c r="A50" s="4" t="s">
        <v>86</v>
      </c>
      <c r="B50" s="4" t="s">
        <v>87</v>
      </c>
      <c r="C50" s="6">
        <v>1.36</v>
      </c>
      <c r="D50" s="6">
        <v>4.88</v>
      </c>
      <c r="E50" s="6">
        <v>3.72</v>
      </c>
      <c r="F50" s="6">
        <f t="shared" si="0"/>
        <v>3.36</v>
      </c>
      <c r="G50">
        <f t="shared" si="1"/>
        <v>0</v>
      </c>
      <c r="H50" s="7">
        <v>43</v>
      </c>
      <c r="I50" s="11">
        <v>1</v>
      </c>
      <c r="J50" s="28">
        <v>1</v>
      </c>
    </row>
    <row r="51" spans="1:10" x14ac:dyDescent="0.2">
      <c r="A51" s="4" t="s">
        <v>88</v>
      </c>
      <c r="B51" s="4" t="s">
        <v>89</v>
      </c>
      <c r="C51" s="6">
        <v>3.18</v>
      </c>
      <c r="D51" s="6">
        <v>3.41</v>
      </c>
      <c r="E51" s="6">
        <v>3.28</v>
      </c>
      <c r="F51" s="6">
        <f t="shared" si="0"/>
        <v>3.2889999999999997</v>
      </c>
      <c r="G51">
        <f t="shared" si="1"/>
        <v>0</v>
      </c>
      <c r="H51" s="7">
        <v>44</v>
      </c>
      <c r="I51" s="11">
        <v>1</v>
      </c>
      <c r="J51" s="28">
        <v>1</v>
      </c>
    </row>
    <row r="52" spans="1:10" x14ac:dyDescent="0.2">
      <c r="A52" s="4" t="s">
        <v>90</v>
      </c>
      <c r="B52" s="4" t="s">
        <v>91</v>
      </c>
      <c r="C52" s="6">
        <v>0</v>
      </c>
      <c r="D52" s="6">
        <v>3.64</v>
      </c>
      <c r="E52" s="6">
        <v>1.65</v>
      </c>
      <c r="F52" s="6">
        <f t="shared" si="0"/>
        <v>1.7520000000000002</v>
      </c>
      <c r="G52">
        <f t="shared" si="1"/>
        <v>1</v>
      </c>
      <c r="H52" s="7">
        <v>45</v>
      </c>
      <c r="I52" s="11">
        <v>1</v>
      </c>
      <c r="J52" s="28">
        <v>1</v>
      </c>
    </row>
    <row r="53" spans="1:10" x14ac:dyDescent="0.2">
      <c r="G53">
        <f>SUM(G7:G52)</f>
        <v>11</v>
      </c>
      <c r="H53" s="8">
        <f>G53/H52*100</f>
        <v>24.444444444444443</v>
      </c>
      <c r="I53" s="9">
        <f>100-H53</f>
        <v>75.555555555555557</v>
      </c>
    </row>
  </sheetData>
  <mergeCells count="6">
    <mergeCell ref="A5:F5"/>
    <mergeCell ref="A6:F6"/>
    <mergeCell ref="A1:F1"/>
    <mergeCell ref="A2:F2"/>
    <mergeCell ref="A3:F3"/>
    <mergeCell ref="A4:F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2026-09-23T15:02:54Z</dcterms:created>
  <dcterms:modified xsi:type="dcterms:W3CDTF">2026-10-02T21:00:46Z</dcterms:modified>
  <cp:category/>
</cp:coreProperties>
</file>